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stunisie-my.sharepoint.com/personal/rami_abdmouleh_arstunisie_onmicrosoft_com/Documents/Bureau/"/>
    </mc:Choice>
  </mc:AlternateContent>
  <xr:revisionPtr revIDLastSave="175" documentId="13_ncr:1_{7EAE3029-E9D6-42E2-A135-999FFB11A259}" xr6:coauthVersionLast="47" xr6:coauthVersionMax="47" xr10:uidLastSave="{BB871F47-6C98-4D26-958B-BA0EA41E2365}"/>
  <bookViews>
    <workbookView xWindow="-120" yWindow="-120" windowWidth="29040" windowHeight="15720" activeTab="1" xr2:uid="{DC7C6524-3ED4-447C-B35C-B7CBCD180B1E}"/>
  </bookViews>
  <sheets>
    <sheet name="Exemple" sheetId="4" r:id="rId1"/>
    <sheet name="Structure Contrat et Régles" sheetId="3" r:id="rId2"/>
    <sheet name="RC+ autres" sheetId="2" r:id="rId3"/>
    <sheet name="Dommages Collisions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1" i="4" l="1"/>
  <c r="F20" i="4"/>
  <c r="G20" i="4" s="1"/>
  <c r="F13" i="4"/>
  <c r="G13" i="4" s="1"/>
  <c r="F12" i="4"/>
  <c r="G12" i="4" s="1"/>
  <c r="B19" i="4"/>
  <c r="C19" i="4" s="1"/>
  <c r="B13" i="4"/>
  <c r="C13" i="4" s="1"/>
  <c r="B12" i="4"/>
  <c r="C12" i="4" s="1"/>
  <c r="G23" i="4" l="1"/>
  <c r="G27" i="4" s="1"/>
  <c r="C20" i="4"/>
  <c r="C22" i="4" s="1"/>
  <c r="C26" i="4" s="1"/>
</calcChain>
</file>

<file path=xl/sharedStrings.xml><?xml version="1.0" encoding="utf-8"?>
<sst xmlns="http://schemas.openxmlformats.org/spreadsheetml/2006/main" count="187" uniqueCount="104">
  <si>
    <t>Valeur à neuf</t>
  </si>
  <si>
    <t>Capital</t>
  </si>
  <si>
    <t>Prime</t>
  </si>
  <si>
    <t>CLASSE</t>
  </si>
  <si>
    <t xml:space="preserve">TAUX DE PRIME </t>
  </si>
  <si>
    <t>Classe</t>
  </si>
  <si>
    <t>3 A 4CV</t>
  </si>
  <si>
    <t>5 A 6CV</t>
  </si>
  <si>
    <t xml:space="preserve">7 A 10CV </t>
  </si>
  <si>
    <t xml:space="preserve">11 A 14 CV </t>
  </si>
  <si>
    <t>&gt;=15 CV</t>
  </si>
  <si>
    <t>01</t>
  </si>
  <si>
    <t>03</t>
  </si>
  <si>
    <t>02</t>
  </si>
  <si>
    <t>05</t>
  </si>
  <si>
    <t>07</t>
  </si>
  <si>
    <t>04</t>
  </si>
  <si>
    <t>06</t>
  </si>
  <si>
    <t>08</t>
  </si>
  <si>
    <t>CAS</t>
  </si>
  <si>
    <t>Tableau RC</t>
  </si>
  <si>
    <t>Structure du Contat</t>
  </si>
  <si>
    <t>GARANTIE</t>
  </si>
  <si>
    <t>VALEUR</t>
  </si>
  <si>
    <t>PRIME</t>
  </si>
  <si>
    <t>RESPONSABILITE CIVILE</t>
  </si>
  <si>
    <t>ILLIMITE</t>
  </si>
  <si>
    <t>1.000</t>
  </si>
  <si>
    <t>VOL</t>
  </si>
  <si>
    <t>INCENDIE</t>
  </si>
  <si>
    <t>PERSONNES TRANSPORTEES</t>
  </si>
  <si>
    <t>ASSISTANCE GOLD</t>
  </si>
  <si>
    <t>TOUS RISQUES 0%</t>
  </si>
  <si>
    <t>PRIME NETTE</t>
  </si>
  <si>
    <t>FRAIS</t>
  </si>
  <si>
    <t>TAXES</t>
  </si>
  <si>
    <t>F.P.A.C</t>
  </si>
  <si>
    <t>F.S.S.R</t>
  </si>
  <si>
    <t>TOTAL</t>
  </si>
  <si>
    <t>Eléments Obligatoires de tarification :</t>
  </si>
  <si>
    <t>CV</t>
  </si>
  <si>
    <t>valeur à neuf</t>
  </si>
  <si>
    <t>valeur vénale</t>
  </si>
  <si>
    <t>1ére Misen en circulation</t>
  </si>
  <si>
    <t xml:space="preserve">Nb places </t>
  </si>
  <si>
    <t>Classe BM</t>
  </si>
  <si>
    <t>Voir tableau RC</t>
  </si>
  <si>
    <t>Prime Fixe</t>
  </si>
  <si>
    <t>Valeur vénale</t>
  </si>
  <si>
    <t>=(((valeur vénale*2,75)/1000)+30)*taux de réduction</t>
  </si>
  <si>
    <t>=(((valeur vénale*2,36)/1000)+30)*taux de réduction</t>
  </si>
  <si>
    <t>Dommages Collision</t>
  </si>
  <si>
    <t>Bris de Glaces</t>
  </si>
  <si>
    <t>voir tableau Dommages Collision</t>
  </si>
  <si>
    <t>FG</t>
  </si>
  <si>
    <t>Incendie</t>
  </si>
  <si>
    <t>BG</t>
  </si>
  <si>
    <t>Tous risques</t>
  </si>
  <si>
    <t>Franchise</t>
  </si>
  <si>
    <t>taux</t>
  </si>
  <si>
    <t>fixe</t>
  </si>
  <si>
    <t>0%</t>
  </si>
  <si>
    <t>1%</t>
  </si>
  <si>
    <t>2%</t>
  </si>
  <si>
    <t>0,032</t>
  </si>
  <si>
    <t>0,0265</t>
  </si>
  <si>
    <t>0,021</t>
  </si>
  <si>
    <t>4%</t>
  </si>
  <si>
    <t>0,017</t>
  </si>
  <si>
    <t>=(((valeur à neuf*taux)+ prime fixe)*taux de réduction</t>
  </si>
  <si>
    <t>voir tableux Tous risques</t>
  </si>
  <si>
    <t>Valeu à neuf</t>
  </si>
  <si>
    <t>8%</t>
  </si>
  <si>
    <t>=capital * 0,08</t>
  </si>
  <si>
    <t>ASSISTANCE Remorquage</t>
  </si>
  <si>
    <t>prime fixe selon capital</t>
  </si>
  <si>
    <t>PTA</t>
  </si>
  <si>
    <t xml:space="preserve">Capital </t>
  </si>
  <si>
    <t>= sommme des primes nettes</t>
  </si>
  <si>
    <t>=((12%*prime nette)+((prime RC + frais )*2%)</t>
  </si>
  <si>
    <t>=prime nette+frais+taxe+FPAC+FSSR+FG</t>
  </si>
  <si>
    <t>Régles</t>
  </si>
  <si>
    <t>la garanties dommages collision ne peut pas être souscrite avec la garanties tous risque</t>
  </si>
  <si>
    <t>Si l'assuré choisi la formule tous risques 0% : la garanties BG sera gratuite</t>
  </si>
  <si>
    <t>la garantie dommages collisions est accordée uniquement pour les véhicules âgés moins de 10 ans</t>
  </si>
  <si>
    <t>la garantie Tous risques est accordée uniquement pour les véhicules âgés moins de 2 ans</t>
  </si>
  <si>
    <t>assuré</t>
  </si>
  <si>
    <t>Assistance</t>
  </si>
  <si>
    <t>LLOYD</t>
  </si>
  <si>
    <t>Formules Valables pour toute les compagnies</t>
  </si>
  <si>
    <t>AMANA</t>
  </si>
  <si>
    <t>Tableau deux compagnies suivra</t>
  </si>
  <si>
    <t>Frais du contrat</t>
  </si>
  <si>
    <t>Dommages suite émeutes</t>
  </si>
  <si>
    <t>Dommages suite émeutes et CAT NAT</t>
  </si>
  <si>
    <t xml:space="preserve">Dommages suite émeutes </t>
  </si>
  <si>
    <t>Dommages suite CAT NAT</t>
  </si>
  <si>
    <t>Formules Valables par compagnies</t>
  </si>
  <si>
    <t>Incendie Suite Emeutes</t>
  </si>
  <si>
    <t>NC</t>
  </si>
  <si>
    <t>7%</t>
  </si>
  <si>
    <t>=(capital * TAux)</t>
  </si>
  <si>
    <t>Dommages suite CATNAT</t>
  </si>
  <si>
    <t>la formule standars n'affiche pas la tous risques ou la garantie Dommages Collision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</si>
</sst>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#,##0.000\ _€;[Red]#,##0.000\ _€"/>
    <numFmt numFmtId="166" formatCode="#,##0.000\ _€"/>
    <numFmt numFmtId="167" formatCode="0.0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name val="Bangle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Comic Sans MS"/>
      <family val="4"/>
    </font>
    <font>
      <sz val="14"/>
      <name val="Comic Sans MS"/>
      <family val="4"/>
    </font>
    <font>
      <b/>
      <sz val="11"/>
      <name val="Comic Sans MS"/>
      <family val="4"/>
    </font>
    <font>
      <sz val="12"/>
      <name val="Comic Sans MS"/>
      <family val="4"/>
    </font>
    <font>
      <sz val="11"/>
      <name val="Comic Sans MS"/>
      <family val="4"/>
    </font>
    <font>
      <b/>
      <u/>
      <sz val="14"/>
      <name val="Comic Sans MS"/>
      <family val="4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0" borderId="0" xfId="0" applyFont="1"/>
    <xf numFmtId="164" fontId="7" fillId="0" borderId="1" xfId="0" applyNumberFormat="1" applyFont="1" applyBorder="1"/>
    <xf numFmtId="0" fontId="8" fillId="0" borderId="1" xfId="0" applyFont="1" applyBorder="1" applyAlignment="1">
      <alignment horizontal="center"/>
    </xf>
    <xf numFmtId="3" fontId="8" fillId="0" borderId="1" xfId="0" applyNumberFormat="1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9" fillId="0" borderId="1" xfId="0" applyFont="1" applyBorder="1"/>
    <xf numFmtId="3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7" fontId="9" fillId="0" borderId="1" xfId="0" applyNumberFormat="1" applyFont="1" applyBorder="1" applyAlignment="1">
      <alignment horizontal="center"/>
    </xf>
    <xf numFmtId="0" fontId="9" fillId="0" borderId="2" xfId="0" applyFont="1" applyBorder="1"/>
    <xf numFmtId="167" fontId="9" fillId="0" borderId="1" xfId="0" applyNumberFormat="1" applyFont="1" applyBorder="1"/>
    <xf numFmtId="164" fontId="9" fillId="4" borderId="1" xfId="0" applyNumberFormat="1" applyFont="1" applyFill="1" applyBorder="1"/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49" fontId="3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center"/>
    </xf>
    <xf numFmtId="9" fontId="5" fillId="5" borderId="1" xfId="0" applyNumberFormat="1" applyFont="1" applyFill="1" applyBorder="1" applyAlignment="1">
      <alignment horizontal="center"/>
    </xf>
    <xf numFmtId="166" fontId="5" fillId="5" borderId="1" xfId="0" applyNumberFormat="1" applyFont="1" applyFill="1" applyBorder="1"/>
    <xf numFmtId="165" fontId="5" fillId="5" borderId="1" xfId="0" applyNumberFormat="1" applyFont="1" applyFill="1" applyBorder="1"/>
    <xf numFmtId="49" fontId="6" fillId="5" borderId="1" xfId="0" applyNumberFormat="1" applyFont="1" applyFill="1" applyBorder="1" applyAlignment="1">
      <alignment horizontal="center"/>
    </xf>
    <xf numFmtId="9" fontId="6" fillId="5" borderId="1" xfId="0" applyNumberFormat="1" applyFont="1" applyFill="1" applyBorder="1" applyAlignment="1">
      <alignment horizontal="center"/>
    </xf>
    <xf numFmtId="166" fontId="6" fillId="5" borderId="1" xfId="0" applyNumberFormat="1" applyFont="1" applyFill="1" applyBorder="1" applyAlignment="1">
      <alignment horizontal="right"/>
    </xf>
    <xf numFmtId="165" fontId="6" fillId="5" borderId="1" xfId="0" applyNumberFormat="1" applyFont="1" applyFill="1" applyBorder="1" applyAlignment="1">
      <alignment horizontal="right"/>
    </xf>
    <xf numFmtId="49" fontId="9" fillId="0" borderId="1" xfId="0" applyNumberFormat="1" applyFont="1" applyBorder="1" applyAlignment="1">
      <alignment horizontal="center"/>
    </xf>
    <xf numFmtId="49" fontId="11" fillId="0" borderId="1" xfId="0" applyNumberFormat="1" applyFont="1" applyBorder="1"/>
    <xf numFmtId="164" fontId="11" fillId="0" borderId="1" xfId="0" applyNumberFormat="1" applyFont="1" applyBorder="1"/>
    <xf numFmtId="0" fontId="7" fillId="2" borderId="1" xfId="0" applyFont="1" applyFill="1" applyBorder="1"/>
    <xf numFmtId="49" fontId="9" fillId="2" borderId="1" xfId="0" applyNumberFormat="1" applyFont="1" applyFill="1" applyBorder="1"/>
    <xf numFmtId="49" fontId="9" fillId="0" borderId="0" xfId="0" applyNumberFormat="1" applyFont="1" applyAlignment="1">
      <alignment horizontal="center"/>
    </xf>
    <xf numFmtId="0" fontId="7" fillId="2" borderId="2" xfId="0" applyFont="1" applyFill="1" applyBorder="1"/>
    <xf numFmtId="3" fontId="11" fillId="0" borderId="1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3" fontId="10" fillId="0" borderId="1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0" fontId="12" fillId="0" borderId="1" xfId="0" applyFont="1" applyBorder="1"/>
    <xf numFmtId="3" fontId="12" fillId="0" borderId="1" xfId="0" applyNumberFormat="1" applyFont="1" applyBorder="1" applyAlignment="1">
      <alignment horizontal="center"/>
    </xf>
    <xf numFmtId="164" fontId="12" fillId="3" borderId="1" xfId="0" applyNumberFormat="1" applyFont="1" applyFill="1" applyBorder="1"/>
    <xf numFmtId="164" fontId="12" fillId="0" borderId="1" xfId="0" applyNumberFormat="1" applyFont="1" applyBorder="1" applyAlignment="1">
      <alignment horizontal="center"/>
    </xf>
    <xf numFmtId="164" fontId="12" fillId="2" borderId="1" xfId="0" applyNumberFormat="1" applyFont="1" applyFill="1" applyBorder="1"/>
    <xf numFmtId="49" fontId="12" fillId="0" borderId="1" xfId="0" applyNumberFormat="1" applyFont="1" applyBorder="1"/>
    <xf numFmtId="167" fontId="12" fillId="0" borderId="1" xfId="0" applyNumberFormat="1" applyFont="1" applyBorder="1" applyAlignment="1">
      <alignment horizontal="center"/>
    </xf>
    <xf numFmtId="164" fontId="12" fillId="0" borderId="1" xfId="0" applyNumberFormat="1" applyFont="1" applyBorder="1"/>
    <xf numFmtId="0" fontId="12" fillId="0" borderId="2" xfId="0" applyFont="1" applyBorder="1"/>
    <xf numFmtId="0" fontId="0" fillId="0" borderId="1" xfId="0" applyBorder="1"/>
    <xf numFmtId="9" fontId="0" fillId="0" borderId="0" xfId="0" applyNumberFormat="1"/>
    <xf numFmtId="49" fontId="12" fillId="6" borderId="1" xfId="0" applyNumberFormat="1" applyFont="1" applyFill="1" applyBorder="1"/>
    <xf numFmtId="0" fontId="5" fillId="0" borderId="0" xfId="0" applyFont="1"/>
    <xf numFmtId="0" fontId="8" fillId="0" borderId="0" xfId="0" applyFont="1" applyAlignment="1">
      <alignment horizontal="left"/>
    </xf>
    <xf numFmtId="3" fontId="11" fillId="0" borderId="0" xfId="0" applyNumberFormat="1" applyFont="1" applyAlignment="1">
      <alignment horizontal="center"/>
    </xf>
    <xf numFmtId="0" fontId="5" fillId="0" borderId="1" xfId="0" applyFont="1" applyBorder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49" fontId="9" fillId="0" borderId="1" xfId="0" applyNumberFormat="1" applyFont="1" applyBorder="1" applyAlignment="1">
      <alignment horizontal="left"/>
    </xf>
    <xf numFmtId="49" fontId="9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49" fontId="9" fillId="7" borderId="1" xfId="0" applyNumberFormat="1" applyFont="1" applyFill="1" applyBorder="1" applyAlignment="1">
      <alignment horizontal="center"/>
    </xf>
    <xf numFmtId="49" fontId="11" fillId="0" borderId="1" xfId="0" applyNumberFormat="1" applyFont="1" applyFill="1" applyBorder="1"/>
    <xf numFmtId="49" fontId="11" fillId="0" borderId="0" xfId="0" applyNumberFormat="1" applyFont="1" applyBorder="1"/>
    <xf numFmtId="164" fontId="11" fillId="0" borderId="0" xfId="0" applyNumberFormat="1" applyFont="1" applyBorder="1"/>
    <xf numFmtId="49" fontId="11" fillId="0" borderId="1" xfId="0" applyNumberFormat="1" applyFont="1" applyBorder="1" applyAlignment="1"/>
    <xf numFmtId="49" fontId="11" fillId="0" borderId="2" xfId="0" applyNumberFormat="1" applyFont="1" applyBorder="1" applyAlignment="1">
      <alignment horizontal="center"/>
    </xf>
    <xf numFmtId="49" fontId="11" fillId="0" borderId="3" xfId="0" applyNumberFormat="1" applyFont="1" applyBorder="1" applyAlignment="1">
      <alignment horizontal="center"/>
    </xf>
    <xf numFmtId="164" fontId="7" fillId="0" borderId="0" xfId="0" applyNumberFormat="1" applyFont="1" applyBorder="1"/>
    <xf numFmtId="164" fontId="9" fillId="5" borderId="1" xfId="0" applyNumberFormat="1" applyFont="1" applyFill="1" applyBorder="1"/>
    <xf numFmtId="167" fontId="9" fillId="5" borderId="1" xfId="0" applyNumberFormat="1" applyFont="1" applyFill="1" applyBorder="1"/>
    <xf numFmtId="164" fontId="9" fillId="0" borderId="6" xfId="0" applyNumberFormat="1" applyFont="1" applyFill="1" applyBorder="1" applyAlignment="1">
      <alignment horizontal="center"/>
    </xf>
    <xf numFmtId="164" fontId="9" fillId="5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37EA6-4493-430E-A1D7-81F4A47D20A7}">
  <dimension ref="A2:G27"/>
  <sheetViews>
    <sheetView topLeftCell="A5" workbookViewId="0">
      <selection activeCell="G27" sqref="G27"/>
    </sheetView>
  </sheetViews>
  <sheetFormatPr baseColWidth="10" defaultRowHeight="15"/>
  <cols>
    <col min="1" max="1" width="41.42578125" bestFit="1" customWidth="1"/>
    <col min="2" max="2" width="18.5703125" bestFit="1" customWidth="1"/>
    <col min="3" max="3" width="14.85546875" bestFit="1" customWidth="1"/>
    <col min="4" max="4" width="13" bestFit="1" customWidth="1"/>
    <col min="5" max="5" width="41.42578125" bestFit="1" customWidth="1"/>
    <col min="6" max="6" width="16.7109375" bestFit="1" customWidth="1"/>
    <col min="7" max="7" width="14.85546875" bestFit="1" customWidth="1"/>
  </cols>
  <sheetData>
    <row r="2" spans="1:7" ht="22.5">
      <c r="A2" s="55"/>
      <c r="B2" s="55"/>
      <c r="C2" s="55"/>
      <c r="D2" s="49"/>
    </row>
    <row r="3" spans="1:7" ht="22.5">
      <c r="A3" s="56"/>
      <c r="B3" s="56"/>
      <c r="C3" s="56"/>
      <c r="D3" s="52" t="s">
        <v>41</v>
      </c>
      <c r="E3" s="34">
        <v>85000</v>
      </c>
    </row>
    <row r="4" spans="1:7" ht="22.5">
      <c r="A4" s="56"/>
      <c r="B4" s="56"/>
      <c r="C4" s="56"/>
      <c r="D4" s="52" t="s">
        <v>42</v>
      </c>
      <c r="E4" s="34">
        <v>75000</v>
      </c>
    </row>
    <row r="5" spans="1:7" ht="22.5">
      <c r="A5" s="50"/>
      <c r="B5" s="50"/>
      <c r="C5" s="50"/>
      <c r="D5" s="52" t="s">
        <v>40</v>
      </c>
      <c r="E5" s="33">
        <v>5</v>
      </c>
    </row>
    <row r="6" spans="1:7" ht="22.5">
      <c r="A6" s="50"/>
      <c r="B6" s="50"/>
      <c r="C6" s="50"/>
      <c r="D6" s="52" t="s">
        <v>45</v>
      </c>
      <c r="E6" s="33">
        <v>4</v>
      </c>
    </row>
    <row r="7" spans="1:7" ht="22.5">
      <c r="A7" s="50"/>
      <c r="B7" s="50"/>
      <c r="C7" s="50"/>
      <c r="D7" s="49"/>
      <c r="E7" s="51"/>
    </row>
    <row r="8" spans="1:7" ht="22.5">
      <c r="A8" s="57" t="s">
        <v>88</v>
      </c>
      <c r="B8" s="57"/>
      <c r="C8" s="57"/>
      <c r="D8" s="49"/>
      <c r="E8" s="57" t="s">
        <v>90</v>
      </c>
      <c r="F8" s="57"/>
      <c r="G8" s="57"/>
    </row>
    <row r="9" spans="1:7" ht="22.5">
      <c r="A9" s="4" t="s">
        <v>22</v>
      </c>
      <c r="B9" s="5" t="s">
        <v>23</v>
      </c>
      <c r="C9" s="6" t="s">
        <v>24</v>
      </c>
      <c r="E9" s="4" t="s">
        <v>22</v>
      </c>
      <c r="F9" s="5" t="s">
        <v>23</v>
      </c>
      <c r="G9" s="6" t="s">
        <v>24</v>
      </c>
    </row>
    <row r="10" spans="1:7" ht="21">
      <c r="A10" s="7" t="s">
        <v>25</v>
      </c>
      <c r="B10" s="8" t="s">
        <v>26</v>
      </c>
      <c r="C10" s="74">
        <v>140</v>
      </c>
      <c r="E10" s="7" t="s">
        <v>25</v>
      </c>
      <c r="F10" s="8" t="s">
        <v>26</v>
      </c>
      <c r="G10" s="74">
        <v>140</v>
      </c>
    </row>
    <row r="11" spans="1:7" ht="21">
      <c r="A11" s="7" t="s">
        <v>19</v>
      </c>
      <c r="B11" s="9" t="s">
        <v>27</v>
      </c>
      <c r="C11" s="74">
        <v>45</v>
      </c>
      <c r="E11" s="7" t="s">
        <v>19</v>
      </c>
      <c r="F11" s="9" t="s">
        <v>27</v>
      </c>
      <c r="G11" s="74">
        <v>20</v>
      </c>
    </row>
    <row r="12" spans="1:7" ht="21">
      <c r="A12" s="7" t="s">
        <v>28</v>
      </c>
      <c r="B12" s="9">
        <f>E4</f>
        <v>75000</v>
      </c>
      <c r="C12" s="74">
        <f>(((B12*2.36)/1000)+30)</f>
        <v>207</v>
      </c>
      <c r="E12" s="7" t="s">
        <v>28</v>
      </c>
      <c r="F12" s="9">
        <f>E4</f>
        <v>75000</v>
      </c>
      <c r="G12" s="74">
        <f>(((F12*2.36)/1000)+30)</f>
        <v>207</v>
      </c>
    </row>
    <row r="13" spans="1:7" ht="21">
      <c r="A13" s="7" t="s">
        <v>29</v>
      </c>
      <c r="B13" s="9">
        <f>E4</f>
        <v>75000</v>
      </c>
      <c r="C13" s="74">
        <f>(((B13*2.75)/1000)+30)</f>
        <v>236.25</v>
      </c>
      <c r="E13" s="7" t="s">
        <v>29</v>
      </c>
      <c r="F13" s="9">
        <f>E4</f>
        <v>75000</v>
      </c>
      <c r="G13" s="74">
        <f>(((F13*2.75)/1000)+30)</f>
        <v>236.25</v>
      </c>
    </row>
    <row r="14" spans="1:7" ht="21">
      <c r="A14" s="7" t="s">
        <v>98</v>
      </c>
      <c r="B14" s="9">
        <v>75000</v>
      </c>
      <c r="C14" s="74">
        <v>15</v>
      </c>
      <c r="E14" s="7" t="s">
        <v>98</v>
      </c>
      <c r="F14" s="9"/>
      <c r="G14" s="74" t="s">
        <v>99</v>
      </c>
    </row>
    <row r="15" spans="1:7" ht="21">
      <c r="A15" s="7" t="s">
        <v>30</v>
      </c>
      <c r="B15" s="10">
        <v>5000</v>
      </c>
      <c r="C15" s="74">
        <v>25</v>
      </c>
      <c r="E15" s="7" t="s">
        <v>30</v>
      </c>
      <c r="F15" s="10">
        <v>4000</v>
      </c>
      <c r="G15" s="74">
        <v>32</v>
      </c>
    </row>
    <row r="16" spans="1:7" ht="21">
      <c r="A16" s="11" t="s">
        <v>31</v>
      </c>
      <c r="B16" s="9" t="s">
        <v>86</v>
      </c>
      <c r="C16" s="74">
        <v>115</v>
      </c>
      <c r="E16" s="11" t="s">
        <v>31</v>
      </c>
      <c r="F16" s="9" t="s">
        <v>86</v>
      </c>
      <c r="G16" s="74">
        <v>90</v>
      </c>
    </row>
    <row r="17" spans="1:7" ht="21">
      <c r="A17" s="11" t="s">
        <v>56</v>
      </c>
      <c r="B17" s="9">
        <v>1000</v>
      </c>
      <c r="C17" s="74">
        <v>0</v>
      </c>
      <c r="E17" s="11" t="s">
        <v>56</v>
      </c>
      <c r="F17" s="9">
        <v>1000</v>
      </c>
      <c r="G17" s="74">
        <v>0</v>
      </c>
    </row>
    <row r="18" spans="1:7" ht="21">
      <c r="A18" s="11" t="s">
        <v>93</v>
      </c>
      <c r="B18" s="9">
        <v>75000</v>
      </c>
      <c r="C18" s="74">
        <v>30</v>
      </c>
      <c r="E18" s="11" t="s">
        <v>93</v>
      </c>
      <c r="F18" s="9">
        <v>75000</v>
      </c>
      <c r="G18" s="74">
        <v>30</v>
      </c>
    </row>
    <row r="19" spans="1:7" ht="21">
      <c r="A19" s="11" t="s">
        <v>32</v>
      </c>
      <c r="B19" s="9">
        <f>E3</f>
        <v>85000</v>
      </c>
      <c r="C19" s="74">
        <f>(((B19*32)/1000)+22)</f>
        <v>2742</v>
      </c>
      <c r="E19" s="11" t="s">
        <v>102</v>
      </c>
      <c r="F19" s="76">
        <v>75000</v>
      </c>
      <c r="G19" s="77">
        <v>40</v>
      </c>
    </row>
    <row r="20" spans="1:7" ht="22.5">
      <c r="A20" s="53" t="s">
        <v>33</v>
      </c>
      <c r="B20" s="54"/>
      <c r="C20" s="74">
        <f>SUM(C10:C19)</f>
        <v>3555.25</v>
      </c>
      <c r="E20" s="11" t="s">
        <v>32</v>
      </c>
      <c r="F20" s="9">
        <f>E3</f>
        <v>85000</v>
      </c>
      <c r="G20" s="74">
        <f>(((F20*32)/1000)+22)</f>
        <v>2742</v>
      </c>
    </row>
    <row r="21" spans="1:7" ht="22.5">
      <c r="A21" s="53" t="s">
        <v>34</v>
      </c>
      <c r="B21" s="54"/>
      <c r="C21" s="74">
        <v>30</v>
      </c>
      <c r="E21" s="53" t="s">
        <v>33</v>
      </c>
      <c r="F21" s="54"/>
      <c r="G21" s="74">
        <f>SUM(G10:G20)</f>
        <v>3537.25</v>
      </c>
    </row>
    <row r="22" spans="1:7" ht="22.5">
      <c r="A22" s="53" t="s">
        <v>35</v>
      </c>
      <c r="B22" s="54"/>
      <c r="C22" s="75">
        <f>((C20+C21)*12/100)+((C10+C21)*2/100)</f>
        <v>433.63</v>
      </c>
      <c r="E22" s="53" t="s">
        <v>34</v>
      </c>
      <c r="F22" s="54"/>
      <c r="G22" s="74">
        <v>20</v>
      </c>
    </row>
    <row r="23" spans="1:7" ht="22.5">
      <c r="A23" s="53" t="s">
        <v>36</v>
      </c>
      <c r="B23" s="54"/>
      <c r="C23" s="75">
        <v>0.5</v>
      </c>
      <c r="E23" s="53" t="s">
        <v>35</v>
      </c>
      <c r="F23" s="54"/>
      <c r="G23" s="75">
        <f>((G21+G22)*12/100)+((G10+G22)*2/100)</f>
        <v>430.07</v>
      </c>
    </row>
    <row r="24" spans="1:7" ht="22.5">
      <c r="A24" s="53" t="s">
        <v>37</v>
      </c>
      <c r="B24" s="54"/>
      <c r="C24" s="12">
        <v>0.3</v>
      </c>
      <c r="E24" s="53" t="s">
        <v>36</v>
      </c>
      <c r="F24" s="54"/>
      <c r="G24" s="75">
        <v>0.5</v>
      </c>
    </row>
    <row r="25" spans="1:7" ht="22.5">
      <c r="A25" s="53" t="s">
        <v>54</v>
      </c>
      <c r="B25" s="54"/>
      <c r="C25" s="12">
        <v>3</v>
      </c>
      <c r="E25" s="53" t="s">
        <v>37</v>
      </c>
      <c r="F25" s="54"/>
      <c r="G25" s="12">
        <v>0.3</v>
      </c>
    </row>
    <row r="26" spans="1:7" ht="22.5">
      <c r="A26" s="53" t="s">
        <v>38</v>
      </c>
      <c r="B26" s="54"/>
      <c r="C26" s="13">
        <f>SUM(C20:C25)</f>
        <v>4022.6800000000003</v>
      </c>
      <c r="E26" s="53" t="s">
        <v>54</v>
      </c>
      <c r="F26" s="54"/>
      <c r="G26" s="12">
        <v>3</v>
      </c>
    </row>
    <row r="27" spans="1:7" ht="22.5">
      <c r="E27" s="53" t="s">
        <v>38</v>
      </c>
      <c r="F27" s="54"/>
      <c r="G27" s="13">
        <f>SUM(G21:G26)</f>
        <v>3991.1200000000003</v>
      </c>
    </row>
  </sheetData>
  <mergeCells count="19">
    <mergeCell ref="E24:F24"/>
    <mergeCell ref="E25:F25"/>
    <mergeCell ref="E26:F26"/>
    <mergeCell ref="E27:F27"/>
    <mergeCell ref="A21:B21"/>
    <mergeCell ref="E8:G8"/>
    <mergeCell ref="E21:F21"/>
    <mergeCell ref="E22:F22"/>
    <mergeCell ref="E23:F23"/>
    <mergeCell ref="A2:C2"/>
    <mergeCell ref="A3:C3"/>
    <mergeCell ref="A4:C4"/>
    <mergeCell ref="A8:C8"/>
    <mergeCell ref="A20:B20"/>
    <mergeCell ref="A22:B22"/>
    <mergeCell ref="A23:B23"/>
    <mergeCell ref="A24:B24"/>
    <mergeCell ref="A26:B26"/>
    <mergeCell ref="A25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78990-6498-4EB9-8631-FB4081BB6CB9}">
  <dimension ref="A1:G31"/>
  <sheetViews>
    <sheetView tabSelected="1" workbookViewId="0">
      <selection activeCell="F30" sqref="F30"/>
    </sheetView>
  </sheetViews>
  <sheetFormatPr baseColWidth="10" defaultRowHeight="15"/>
  <cols>
    <col min="1" max="1" width="41.42578125" bestFit="1" customWidth="1"/>
    <col min="2" max="2" width="18" bestFit="1" customWidth="1"/>
    <col min="3" max="3" width="69.7109375" bestFit="1" customWidth="1"/>
    <col min="6" max="6" width="27.85546875" bestFit="1" customWidth="1"/>
  </cols>
  <sheetData>
    <row r="1" spans="1:7" ht="18">
      <c r="A1" s="15" t="s">
        <v>21</v>
      </c>
    </row>
    <row r="2" spans="1:7" ht="18">
      <c r="A2" s="14"/>
    </row>
    <row r="3" spans="1:7" ht="18">
      <c r="A3" s="14"/>
    </row>
    <row r="4" spans="1:7" ht="18">
      <c r="A4" s="15" t="s">
        <v>39</v>
      </c>
      <c r="B4" s="15" t="s">
        <v>41</v>
      </c>
      <c r="C4" s="15" t="s">
        <v>42</v>
      </c>
      <c r="D4" s="15" t="s">
        <v>40</v>
      </c>
      <c r="E4" s="15" t="s">
        <v>44</v>
      </c>
      <c r="F4" s="15" t="s">
        <v>43</v>
      </c>
      <c r="G4" s="15" t="s">
        <v>45</v>
      </c>
    </row>
    <row r="5" spans="1:7" ht="18">
      <c r="A5" s="14"/>
    </row>
    <row r="7" spans="1:7" ht="18">
      <c r="A7" s="15" t="s">
        <v>22</v>
      </c>
      <c r="B7" s="35" t="s">
        <v>23</v>
      </c>
      <c r="C7" s="36" t="s">
        <v>24</v>
      </c>
    </row>
    <row r="8" spans="1:7" ht="16.5">
      <c r="A8" s="37" t="s">
        <v>25</v>
      </c>
      <c r="B8" s="38" t="s">
        <v>26</v>
      </c>
      <c r="C8" s="39" t="s">
        <v>46</v>
      </c>
    </row>
    <row r="9" spans="1:7" ht="16.5">
      <c r="A9" s="37" t="s">
        <v>19</v>
      </c>
      <c r="B9" s="40" t="s">
        <v>27</v>
      </c>
      <c r="C9" s="41">
        <v>20</v>
      </c>
      <c r="D9" s="59" t="s">
        <v>47</v>
      </c>
      <c r="E9" s="60"/>
      <c r="G9" s="47"/>
    </row>
    <row r="10" spans="1:7" ht="16.5">
      <c r="A10" s="37" t="s">
        <v>28</v>
      </c>
      <c r="B10" s="40" t="s">
        <v>48</v>
      </c>
      <c r="C10" s="42" t="s">
        <v>50</v>
      </c>
    </row>
    <row r="11" spans="1:7" ht="16.5">
      <c r="A11" s="37" t="s">
        <v>29</v>
      </c>
      <c r="B11" s="40">
        <v>100000</v>
      </c>
      <c r="C11" s="42" t="s">
        <v>49</v>
      </c>
    </row>
    <row r="12" spans="1:7" ht="16.5">
      <c r="A12" s="37" t="s">
        <v>30</v>
      </c>
      <c r="B12" s="43" t="s">
        <v>1</v>
      </c>
      <c r="C12" s="44" t="s">
        <v>75</v>
      </c>
    </row>
    <row r="13" spans="1:7" ht="16.5">
      <c r="A13" s="45" t="s">
        <v>74</v>
      </c>
      <c r="B13" s="40"/>
      <c r="C13" s="41">
        <v>121</v>
      </c>
      <c r="D13" s="59" t="s">
        <v>47</v>
      </c>
      <c r="E13" s="60"/>
    </row>
    <row r="14" spans="1:7" ht="16.5">
      <c r="A14" s="45" t="s">
        <v>32</v>
      </c>
      <c r="B14" s="40" t="s">
        <v>71</v>
      </c>
      <c r="C14" s="42" t="s">
        <v>69</v>
      </c>
      <c r="D14" s="46" t="s">
        <v>70</v>
      </c>
      <c r="E14" s="46"/>
    </row>
    <row r="15" spans="1:7" ht="16.5">
      <c r="A15" s="45" t="s">
        <v>51</v>
      </c>
      <c r="B15" s="40" t="s">
        <v>1</v>
      </c>
      <c r="C15" s="44" t="s">
        <v>53</v>
      </c>
    </row>
    <row r="16" spans="1:7" ht="16.5">
      <c r="A16" s="45" t="s">
        <v>52</v>
      </c>
      <c r="B16" s="40" t="s">
        <v>1</v>
      </c>
      <c r="C16" s="42" t="s">
        <v>73</v>
      </c>
    </row>
    <row r="17" spans="1:5" ht="18">
      <c r="A17" s="61" t="s">
        <v>33</v>
      </c>
      <c r="B17" s="62"/>
      <c r="C17" s="42" t="s">
        <v>78</v>
      </c>
    </row>
    <row r="18" spans="1:5" ht="18">
      <c r="A18" s="61" t="s">
        <v>34</v>
      </c>
      <c r="B18" s="62"/>
      <c r="C18" s="41">
        <v>40</v>
      </c>
      <c r="D18" s="59" t="s">
        <v>47</v>
      </c>
      <c r="E18" s="60"/>
    </row>
    <row r="19" spans="1:5" ht="18">
      <c r="A19" s="61" t="s">
        <v>35</v>
      </c>
      <c r="B19" s="62"/>
      <c r="C19" s="42" t="s">
        <v>79</v>
      </c>
    </row>
    <row r="20" spans="1:5" ht="18">
      <c r="A20" s="61" t="s">
        <v>36</v>
      </c>
      <c r="B20" s="62"/>
      <c r="C20" s="41">
        <v>0.5</v>
      </c>
      <c r="D20" s="59" t="s">
        <v>47</v>
      </c>
      <c r="E20" s="60"/>
    </row>
    <row r="21" spans="1:5" ht="18">
      <c r="A21" s="61" t="s">
        <v>37</v>
      </c>
      <c r="B21" s="62"/>
      <c r="C21" s="41">
        <v>0.3</v>
      </c>
      <c r="D21" s="59" t="s">
        <v>47</v>
      </c>
      <c r="E21" s="60"/>
    </row>
    <row r="22" spans="1:5" ht="18">
      <c r="A22" s="61" t="s">
        <v>54</v>
      </c>
      <c r="B22" s="62"/>
      <c r="C22" s="41">
        <v>3</v>
      </c>
      <c r="D22" s="59" t="s">
        <v>47</v>
      </c>
      <c r="E22" s="60"/>
    </row>
    <row r="23" spans="1:5" ht="18">
      <c r="A23" s="61" t="s">
        <v>38</v>
      </c>
      <c r="B23" s="62"/>
      <c r="C23" s="48" t="s">
        <v>80</v>
      </c>
    </row>
    <row r="26" spans="1:5">
      <c r="A26" s="1" t="s">
        <v>81</v>
      </c>
    </row>
    <row r="27" spans="1:5">
      <c r="A27" s="58" t="s">
        <v>82</v>
      </c>
      <c r="B27" s="58"/>
      <c r="C27" s="58"/>
    </row>
    <row r="28" spans="1:5">
      <c r="A28" s="58" t="s">
        <v>83</v>
      </c>
      <c r="B28" s="58"/>
      <c r="C28" s="58"/>
    </row>
    <row r="29" spans="1:5">
      <c r="A29" s="58" t="s">
        <v>84</v>
      </c>
      <c r="B29" s="58"/>
      <c r="C29" s="58"/>
    </row>
    <row r="30" spans="1:5">
      <c r="A30" s="58" t="s">
        <v>85</v>
      </c>
      <c r="B30" s="58"/>
      <c r="C30" s="58"/>
    </row>
    <row r="31" spans="1:5">
      <c r="A31" s="58" t="s">
        <v>103</v>
      </c>
      <c r="B31" s="58"/>
      <c r="C31" s="58"/>
    </row>
  </sheetData>
  <mergeCells count="18">
    <mergeCell ref="A23:B23"/>
    <mergeCell ref="A31:C31"/>
    <mergeCell ref="D9:E9"/>
    <mergeCell ref="A22:B22"/>
    <mergeCell ref="D13:E13"/>
    <mergeCell ref="D18:E18"/>
    <mergeCell ref="D20:E20"/>
    <mergeCell ref="D21:E21"/>
    <mergeCell ref="D22:E22"/>
    <mergeCell ref="A17:B17"/>
    <mergeCell ref="A18:B18"/>
    <mergeCell ref="A19:B19"/>
    <mergeCell ref="A20:B20"/>
    <mergeCell ref="A21:B21"/>
    <mergeCell ref="A29:C29"/>
    <mergeCell ref="A30:C30"/>
    <mergeCell ref="A27:C27"/>
    <mergeCell ref="A28:C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6C84-4297-4BBF-AB2A-807F82F5CCBC}">
  <dimension ref="A2:J59"/>
  <sheetViews>
    <sheetView topLeftCell="A29" workbookViewId="0">
      <selection activeCell="E43" sqref="E43"/>
    </sheetView>
  </sheetViews>
  <sheetFormatPr baseColWidth="10" defaultRowHeight="15"/>
  <cols>
    <col min="1" max="1" width="28.28515625" bestFit="1" customWidth="1"/>
    <col min="2" max="2" width="16.140625" bestFit="1" customWidth="1"/>
    <col min="3" max="3" width="11.7109375" bestFit="1" customWidth="1"/>
    <col min="4" max="4" width="22.140625" bestFit="1" customWidth="1"/>
  </cols>
  <sheetData>
    <row r="2" spans="1:10" ht="21">
      <c r="A2" s="66" t="s">
        <v>89</v>
      </c>
      <c r="B2" s="66"/>
      <c r="C2" s="66"/>
      <c r="D2" s="66"/>
      <c r="E2" s="66"/>
      <c r="F2" s="66"/>
      <c r="G2" s="66"/>
      <c r="H2" s="66"/>
      <c r="I2" s="66"/>
      <c r="J2" s="66"/>
    </row>
    <row r="4" spans="1:10" ht="21">
      <c r="A4" s="64" t="s">
        <v>20</v>
      </c>
      <c r="B4" s="64"/>
    </row>
    <row r="6" spans="1:10">
      <c r="A6" s="16" t="s">
        <v>3</v>
      </c>
      <c r="B6" s="16" t="s">
        <v>4</v>
      </c>
      <c r="C6" s="17" t="s">
        <v>5</v>
      </c>
      <c r="D6" s="17" t="s">
        <v>6</v>
      </c>
      <c r="E6" s="17" t="s">
        <v>7</v>
      </c>
      <c r="F6" s="17" t="s">
        <v>8</v>
      </c>
      <c r="G6" s="17" t="s">
        <v>9</v>
      </c>
      <c r="H6" s="17" t="s">
        <v>10</v>
      </c>
    </row>
    <row r="7" spans="1:10">
      <c r="A7" s="18" t="s">
        <v>11</v>
      </c>
      <c r="B7" s="19">
        <v>0.7</v>
      </c>
      <c r="C7" s="18" t="s">
        <v>11</v>
      </c>
      <c r="D7" s="20">
        <v>77</v>
      </c>
      <c r="E7" s="21">
        <v>98</v>
      </c>
      <c r="F7" s="21">
        <v>118.99999999999999</v>
      </c>
      <c r="G7" s="21">
        <v>154</v>
      </c>
      <c r="H7" s="21">
        <v>184.79999999999998</v>
      </c>
    </row>
    <row r="8" spans="1:10">
      <c r="A8" s="18" t="s">
        <v>13</v>
      </c>
      <c r="B8" s="19">
        <v>0.8</v>
      </c>
      <c r="C8" s="18" t="s">
        <v>13</v>
      </c>
      <c r="D8" s="20">
        <v>88</v>
      </c>
      <c r="E8" s="21">
        <v>112</v>
      </c>
      <c r="F8" s="21">
        <v>136</v>
      </c>
      <c r="G8" s="21">
        <v>176</v>
      </c>
      <c r="H8" s="21">
        <v>211.20000000000002</v>
      </c>
    </row>
    <row r="9" spans="1:10">
      <c r="A9" s="18" t="s">
        <v>12</v>
      </c>
      <c r="B9" s="19">
        <v>0.9</v>
      </c>
      <c r="C9" s="18" t="s">
        <v>12</v>
      </c>
      <c r="D9" s="20">
        <v>99</v>
      </c>
      <c r="E9" s="21">
        <v>126</v>
      </c>
      <c r="F9" s="21">
        <v>153</v>
      </c>
      <c r="G9" s="21">
        <v>198</v>
      </c>
      <c r="H9" s="21">
        <v>237.6</v>
      </c>
    </row>
    <row r="10" spans="1:10" ht="15.75">
      <c r="A10" s="22" t="s">
        <v>16</v>
      </c>
      <c r="B10" s="23">
        <v>1</v>
      </c>
      <c r="C10" s="22" t="s">
        <v>16</v>
      </c>
      <c r="D10" s="24">
        <v>110</v>
      </c>
      <c r="E10" s="25">
        <v>140</v>
      </c>
      <c r="F10" s="25">
        <v>170</v>
      </c>
      <c r="G10" s="25">
        <v>220</v>
      </c>
      <c r="H10" s="25">
        <v>264</v>
      </c>
    </row>
    <row r="11" spans="1:10">
      <c r="A11" s="18" t="s">
        <v>14</v>
      </c>
      <c r="B11" s="19">
        <v>1.2</v>
      </c>
      <c r="C11" s="18" t="s">
        <v>14</v>
      </c>
      <c r="D11" s="20">
        <v>132</v>
      </c>
      <c r="E11" s="21">
        <v>168</v>
      </c>
      <c r="F11" s="21">
        <v>204</v>
      </c>
      <c r="G11" s="21">
        <v>264</v>
      </c>
      <c r="H11" s="21">
        <v>316.8</v>
      </c>
    </row>
    <row r="12" spans="1:10">
      <c r="A12" s="18" t="s">
        <v>17</v>
      </c>
      <c r="B12" s="19">
        <v>1.4</v>
      </c>
      <c r="C12" s="18" t="s">
        <v>17</v>
      </c>
      <c r="D12" s="20">
        <v>154</v>
      </c>
      <c r="E12" s="21">
        <v>196</v>
      </c>
      <c r="F12" s="21">
        <v>237.99999999999997</v>
      </c>
      <c r="G12" s="21">
        <v>308</v>
      </c>
      <c r="H12" s="21">
        <v>369.59999999999997</v>
      </c>
    </row>
    <row r="13" spans="1:10">
      <c r="A13" s="18" t="s">
        <v>15</v>
      </c>
      <c r="B13" s="19">
        <v>1.6</v>
      </c>
      <c r="C13" s="18" t="s">
        <v>15</v>
      </c>
      <c r="D13" s="20">
        <v>176</v>
      </c>
      <c r="E13" s="21">
        <v>224</v>
      </c>
      <c r="F13" s="21">
        <v>272</v>
      </c>
      <c r="G13" s="21">
        <v>352</v>
      </c>
      <c r="H13" s="21">
        <v>422.40000000000003</v>
      </c>
    </row>
    <row r="14" spans="1:10">
      <c r="A14" s="18" t="s">
        <v>18</v>
      </c>
      <c r="B14" s="19">
        <v>2</v>
      </c>
      <c r="C14" s="18" t="s">
        <v>18</v>
      </c>
      <c r="D14" s="20">
        <v>220</v>
      </c>
      <c r="E14" s="21">
        <v>280</v>
      </c>
      <c r="F14" s="21">
        <v>340</v>
      </c>
      <c r="G14" s="21">
        <v>440</v>
      </c>
      <c r="H14" s="21">
        <v>528</v>
      </c>
    </row>
    <row r="16" spans="1:10" ht="21">
      <c r="A16" s="30" t="s">
        <v>28</v>
      </c>
      <c r="B16" s="63" t="s">
        <v>50</v>
      </c>
      <c r="C16" s="63"/>
      <c r="D16" s="63"/>
      <c r="E16" s="63"/>
      <c r="F16" s="63"/>
      <c r="G16" s="63"/>
      <c r="H16" s="63"/>
    </row>
    <row r="17" spans="1:10" ht="21">
      <c r="A17" s="30" t="s">
        <v>55</v>
      </c>
      <c r="B17" s="63" t="s">
        <v>49</v>
      </c>
      <c r="C17" s="63"/>
      <c r="D17" s="63"/>
      <c r="E17" s="63"/>
      <c r="F17" s="63"/>
      <c r="G17" s="63"/>
      <c r="H17" s="63"/>
    </row>
    <row r="19" spans="1:10" ht="21">
      <c r="A19" s="64" t="s">
        <v>57</v>
      </c>
      <c r="B19" s="64"/>
    </row>
    <row r="20" spans="1:10" ht="19.5">
      <c r="A20" s="27" t="s">
        <v>58</v>
      </c>
      <c r="B20" s="27" t="s">
        <v>59</v>
      </c>
      <c r="C20" s="27" t="s">
        <v>60</v>
      </c>
    </row>
    <row r="21" spans="1:10" ht="19.5">
      <c r="A21" s="27" t="s">
        <v>61</v>
      </c>
      <c r="B21" s="27" t="s">
        <v>64</v>
      </c>
      <c r="C21" s="28">
        <v>22</v>
      </c>
    </row>
    <row r="22" spans="1:10" ht="19.5">
      <c r="A22" s="27" t="s">
        <v>62</v>
      </c>
      <c r="B22" s="27" t="s">
        <v>65</v>
      </c>
      <c r="C22" s="28">
        <v>21.75</v>
      </c>
    </row>
    <row r="23" spans="1:10" ht="19.5">
      <c r="A23" s="27" t="s">
        <v>63</v>
      </c>
      <c r="B23" s="27" t="s">
        <v>66</v>
      </c>
      <c r="C23" s="28">
        <v>19</v>
      </c>
    </row>
    <row r="24" spans="1:10" ht="19.5">
      <c r="A24" s="27" t="s">
        <v>67</v>
      </c>
      <c r="B24" s="27" t="s">
        <v>68</v>
      </c>
      <c r="C24" s="28">
        <v>15</v>
      </c>
    </row>
    <row r="25" spans="1:10" ht="19.5">
      <c r="A25" s="68"/>
      <c r="B25" s="68"/>
      <c r="C25" s="69"/>
    </row>
    <row r="26" spans="1:10" ht="21">
      <c r="A26" s="66" t="s">
        <v>97</v>
      </c>
      <c r="B26" s="66"/>
      <c r="C26" s="66"/>
      <c r="D26" s="66"/>
      <c r="E26" s="66"/>
      <c r="F26" s="66"/>
      <c r="G26" s="66"/>
      <c r="H26" s="66"/>
      <c r="I26" s="66"/>
      <c r="J26" s="66"/>
    </row>
    <row r="27" spans="1:10" ht="19.5">
      <c r="A27" s="68"/>
      <c r="B27" s="68"/>
      <c r="C27" s="69"/>
    </row>
    <row r="29" spans="1:10" ht="19.5">
      <c r="B29" s="67" t="s">
        <v>88</v>
      </c>
      <c r="C29" s="67" t="s">
        <v>90</v>
      </c>
    </row>
    <row r="30" spans="1:10" ht="20.25">
      <c r="A30" s="29" t="s">
        <v>87</v>
      </c>
      <c r="B30" s="28">
        <v>115</v>
      </c>
      <c r="C30" s="28">
        <v>90</v>
      </c>
    </row>
    <row r="32" spans="1:10" ht="19.5">
      <c r="B32" s="67" t="s">
        <v>88</v>
      </c>
      <c r="C32" s="67" t="s">
        <v>90</v>
      </c>
    </row>
    <row r="33" spans="1:8" ht="18.75">
      <c r="A33" s="29" t="s">
        <v>19</v>
      </c>
      <c r="B33" s="3">
        <v>45</v>
      </c>
      <c r="C33" s="3">
        <v>20</v>
      </c>
    </row>
    <row r="37" spans="1:8" ht="21">
      <c r="B37" s="71" t="s">
        <v>88</v>
      </c>
      <c r="C37" s="72"/>
      <c r="D37" s="71" t="s">
        <v>90</v>
      </c>
      <c r="E37" s="72"/>
      <c r="F37" s="31"/>
      <c r="G37" s="31"/>
      <c r="H37" s="31"/>
    </row>
    <row r="38" spans="1:8" ht="21">
      <c r="A38" s="32" t="s">
        <v>76</v>
      </c>
      <c r="B38" s="26" t="s">
        <v>77</v>
      </c>
      <c r="C38" s="26" t="s">
        <v>2</v>
      </c>
      <c r="D38" s="26" t="s">
        <v>77</v>
      </c>
      <c r="E38" s="26" t="s">
        <v>2</v>
      </c>
      <c r="F38" s="31"/>
      <c r="G38" s="31"/>
      <c r="H38" s="31"/>
    </row>
    <row r="39" spans="1:8" ht="21">
      <c r="B39" s="8">
        <v>5000</v>
      </c>
      <c r="C39" s="28">
        <v>21</v>
      </c>
      <c r="D39" s="8">
        <v>4000</v>
      </c>
      <c r="E39" s="28">
        <v>32</v>
      </c>
      <c r="F39" s="31"/>
      <c r="G39" s="31"/>
      <c r="H39" s="31"/>
    </row>
    <row r="40" spans="1:8" ht="21">
      <c r="B40" s="8">
        <v>10000</v>
      </c>
      <c r="C40" s="28">
        <v>42</v>
      </c>
      <c r="D40" s="8">
        <v>8000</v>
      </c>
      <c r="E40" s="28">
        <v>64</v>
      </c>
      <c r="F40" s="31"/>
      <c r="G40" s="31"/>
      <c r="H40" s="31"/>
    </row>
    <row r="41" spans="1:8" ht="21">
      <c r="C41" s="31"/>
      <c r="D41" s="31"/>
      <c r="E41" s="31"/>
      <c r="F41" s="31"/>
      <c r="G41" s="31"/>
      <c r="H41" s="31"/>
    </row>
    <row r="42" spans="1:8" ht="19.5">
      <c r="B42" s="27" t="s">
        <v>88</v>
      </c>
      <c r="C42" s="70" t="s">
        <v>90</v>
      </c>
    </row>
    <row r="43" spans="1:8" ht="21">
      <c r="A43" s="30" t="s">
        <v>56</v>
      </c>
      <c r="B43" s="27" t="s">
        <v>72</v>
      </c>
      <c r="C43" s="27" t="s">
        <v>100</v>
      </c>
      <c r="D43" s="26" t="s">
        <v>101</v>
      </c>
    </row>
    <row r="45" spans="1:8" ht="19.5">
      <c r="B45" s="27" t="s">
        <v>88</v>
      </c>
      <c r="C45" s="70" t="s">
        <v>90</v>
      </c>
    </row>
    <row r="46" spans="1:8" ht="21">
      <c r="A46" s="30" t="s">
        <v>92</v>
      </c>
      <c r="B46" s="3">
        <v>30</v>
      </c>
      <c r="C46" s="3">
        <v>20</v>
      </c>
    </row>
    <row r="50" spans="1:4" ht="19.5">
      <c r="D50" s="27" t="s">
        <v>88</v>
      </c>
    </row>
    <row r="51" spans="1:4" ht="21">
      <c r="A51" s="64" t="s">
        <v>94</v>
      </c>
      <c r="B51" s="64"/>
      <c r="C51" s="64"/>
      <c r="D51" s="3">
        <v>30</v>
      </c>
    </row>
    <row r="53" spans="1:4" ht="19.5">
      <c r="D53" s="70" t="s">
        <v>90</v>
      </c>
    </row>
    <row r="54" spans="1:4" ht="21">
      <c r="A54" s="64" t="s">
        <v>95</v>
      </c>
      <c r="B54" s="64"/>
      <c r="C54" s="64"/>
      <c r="D54" s="3">
        <v>30</v>
      </c>
    </row>
    <row r="55" spans="1:4" ht="21">
      <c r="A55" s="64" t="s">
        <v>96</v>
      </c>
      <c r="B55" s="64"/>
      <c r="C55" s="64"/>
      <c r="D55" s="3">
        <v>40</v>
      </c>
    </row>
    <row r="56" spans="1:4" ht="18.75">
      <c r="D56" s="73"/>
    </row>
    <row r="57" spans="1:4" ht="18.75">
      <c r="D57" s="73"/>
    </row>
    <row r="58" spans="1:4" ht="19.5">
      <c r="B58" s="27" t="s">
        <v>88</v>
      </c>
      <c r="C58" s="70" t="s">
        <v>90</v>
      </c>
    </row>
    <row r="59" spans="1:4" ht="18.75">
      <c r="A59" s="29" t="s">
        <v>98</v>
      </c>
      <c r="B59" s="3">
        <v>15</v>
      </c>
      <c r="C59" s="3" t="s">
        <v>99</v>
      </c>
    </row>
  </sheetData>
  <mergeCells count="11">
    <mergeCell ref="A54:C54"/>
    <mergeCell ref="A55:C55"/>
    <mergeCell ref="A2:J2"/>
    <mergeCell ref="A26:J26"/>
    <mergeCell ref="B37:C37"/>
    <mergeCell ref="D37:E37"/>
    <mergeCell ref="A51:C51"/>
    <mergeCell ref="A4:B4"/>
    <mergeCell ref="B16:H16"/>
    <mergeCell ref="B17:H17"/>
    <mergeCell ref="A19:B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9841B-F195-4D94-94F2-99C9BA437001}">
  <dimension ref="A5:E6"/>
  <sheetViews>
    <sheetView workbookViewId="0">
      <selection activeCell="D25" sqref="D25"/>
    </sheetView>
  </sheetViews>
  <sheetFormatPr baseColWidth="10" defaultRowHeight="15"/>
  <cols>
    <col min="1" max="1" width="14.42578125" bestFit="1" customWidth="1"/>
  </cols>
  <sheetData>
    <row r="5" spans="1:5" ht="15.75">
      <c r="A5" s="2" t="s">
        <v>0</v>
      </c>
      <c r="B5" s="65" t="s">
        <v>91</v>
      </c>
      <c r="C5" s="65"/>
      <c r="D5" s="65"/>
      <c r="E5" s="65"/>
    </row>
    <row r="6" spans="1:5" ht="15.75">
      <c r="A6" s="2"/>
    </row>
  </sheetData>
  <mergeCells count="1">
    <mergeCell ref="B5:E5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Exemple</vt:lpstr>
      <vt:lpstr>Structure Contrat et Régles</vt:lpstr>
      <vt:lpstr>RC+ autres</vt:lpstr>
      <vt:lpstr>Dommages Collisions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 ABDMOULEH</dc:creator>
  <cp:lastModifiedBy>Rami Abdmouleh</cp:lastModifiedBy>
  <dcterms:created xsi:type="dcterms:W3CDTF">2024-03-21T07:35:22Z</dcterms:created>
  <dcterms:modified xsi:type="dcterms:W3CDTF">2025-10-30T13:59:24Z</dcterms:modified>
</cp:coreProperties>
</file>